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C_Board\BOM\"/>
    </mc:Choice>
  </mc:AlternateContent>
  <xr:revisionPtr revIDLastSave="0" documentId="13_ncr:1_{571CB216-92C5-4011-81B5-3F3C7B3334E5}" xr6:coauthVersionLast="47" xr6:coauthVersionMax="47" xr10:uidLastSave="{00000000-0000-0000-0000-000000000000}"/>
  <bookViews>
    <workbookView xWindow="-120" yWindow="-120" windowWidth="51840" windowHeight="21120" xr2:uid="{F247F8C8-4DCC-4EDF-B652-5C4EC0E386A6}"/>
  </bookViews>
  <sheets>
    <sheet name="Stückliste" sheetId="1" r:id="rId1"/>
    <sheet name="Hilfe" sheetId="4" r:id="rId2"/>
  </sheets>
  <definedNames>
    <definedName name="_xlnm._FilterDatabase" localSheetId="0" hidden="1">Stückliste!$A$3:$K$60</definedName>
    <definedName name="_xlnm.Print_Titles" localSheetId="0">Stückliste!$1:$3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4" i="1"/>
  <c r="M16" i="1"/>
  <c r="M17" i="1"/>
  <c r="M18" i="1"/>
  <c r="M19" i="1"/>
  <c r="M20" i="1"/>
  <c r="M2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L5" i="1"/>
  <c r="L6" i="1"/>
  <c r="L7" i="1"/>
  <c r="L8" i="1"/>
  <c r="L9" i="1"/>
  <c r="L10" i="1"/>
  <c r="L11" i="1"/>
  <c r="L12" i="1"/>
  <c r="L13" i="1"/>
  <c r="M13" i="1" s="1"/>
  <c r="L14" i="1"/>
  <c r="L15" i="1"/>
  <c r="M15" i="1" s="1"/>
  <c r="L16" i="1"/>
  <c r="L17" i="1"/>
  <c r="L18" i="1"/>
  <c r="L19" i="1"/>
  <c r="L20" i="1"/>
  <c r="L21" i="1"/>
  <c r="L22" i="1"/>
  <c r="M22" i="1" s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M59" i="1" s="1"/>
  <c r="L4" i="1"/>
  <c r="M4" i="1" s="1"/>
</calcChain>
</file>

<file path=xl/sharedStrings.xml><?xml version="1.0" encoding="utf-8"?>
<sst xmlns="http://schemas.openxmlformats.org/spreadsheetml/2006/main" count="335" uniqueCount="248">
  <si>
    <t>Geändert: -</t>
  </si>
  <si>
    <t>Pos.</t>
  </si>
  <si>
    <t xml:space="preserve">Referenz </t>
  </si>
  <si>
    <t>Anz.</t>
  </si>
  <si>
    <t>Bezeichnung</t>
  </si>
  <si>
    <t>Typ</t>
  </si>
  <si>
    <t>Footprint</t>
  </si>
  <si>
    <t>Marking</t>
  </si>
  <si>
    <t>Lieferant</t>
  </si>
  <si>
    <t>Bestellnummer</t>
  </si>
  <si>
    <t>01_Erläuterungen zum Ausfüllen einer Stückliste.pdf</t>
  </si>
  <si>
    <t>Dokumenten Nummerierung.docx</t>
  </si>
  <si>
    <t>USB-C Kabel</t>
  </si>
  <si>
    <t>USB-C Buchse</t>
  </si>
  <si>
    <t>Joystick</t>
  </si>
  <si>
    <t>Schalter</t>
  </si>
  <si>
    <t>Netzteil USB-C, 5V2A</t>
  </si>
  <si>
    <t xml:space="preserve">Mikrocontroller </t>
  </si>
  <si>
    <t>J-Tag-Buchse</t>
  </si>
  <si>
    <t>Jtag stecker</t>
  </si>
  <si>
    <t>Jtag Kabel ca 10 cm</t>
  </si>
  <si>
    <t>Linieal Footprints…</t>
  </si>
  <si>
    <t>Gummifuss transparent VPE20</t>
  </si>
  <si>
    <t>Micro-USB für Jtag</t>
  </si>
  <si>
    <t>LED Diffusor</t>
  </si>
  <si>
    <t>Potentiometer</t>
  </si>
  <si>
    <t>Anschlussblock Phönix</t>
  </si>
  <si>
    <t>Schraub-Steckklemme Phönix</t>
  </si>
  <si>
    <t>LED</t>
  </si>
  <si>
    <t>Taster</t>
  </si>
  <si>
    <t>Programmer</t>
  </si>
  <si>
    <t>Spannungsregler 3.3V</t>
  </si>
  <si>
    <t>Schmitt_Tirgger</t>
  </si>
  <si>
    <t>74HC138 3 to 8 Decoder</t>
  </si>
  <si>
    <t>Induktivität</t>
  </si>
  <si>
    <t>Quarz</t>
  </si>
  <si>
    <t>Lichtsensor</t>
  </si>
  <si>
    <t>2x7 Stiftwanne 2514</t>
  </si>
  <si>
    <t>Jumper</t>
  </si>
  <si>
    <t>Temperatursensor MCP9701-E/TO</t>
  </si>
  <si>
    <t>Sicherung</t>
  </si>
  <si>
    <t>9P Header für LCD Display</t>
  </si>
  <si>
    <t>2x5 Stiftwanne 2510</t>
  </si>
  <si>
    <t xml:space="preserve">Potentiometer </t>
  </si>
  <si>
    <t>Widerstand</t>
  </si>
  <si>
    <t>Keramikkondensator</t>
  </si>
  <si>
    <t>Hallsensor SS39E</t>
  </si>
  <si>
    <t>Elektrolytkondensator</t>
  </si>
  <si>
    <t>Stiftleiste 3pin</t>
  </si>
  <si>
    <t>Diode</t>
  </si>
  <si>
    <t>Kondensator</t>
  </si>
  <si>
    <t>LCD 4x40 Zeichen</t>
  </si>
  <si>
    <t>Red, 1m</t>
  </si>
  <si>
    <t>10 x USB-C, 6Pin</t>
  </si>
  <si>
    <t>Yellow (new) version</t>
  </si>
  <si>
    <t>10 x 5mm Miniature</t>
  </si>
  <si>
    <t>‎WR9MA2000USBCFMEDR6B‎</t>
  </si>
  <si>
    <t>ATMEGA2560-16AU</t>
  </si>
  <si>
    <t>Header VERT 10POS 1.27MM</t>
  </si>
  <si>
    <t>CONN SOCKET 10POS IDC GOLD</t>
  </si>
  <si>
    <t>FLAT RBN CBL GRAY 10 COND 100'</t>
  </si>
  <si>
    <t>PCB-RULER-ND</t>
  </si>
  <si>
    <t>40er Packung</t>
  </si>
  <si>
    <t>RND 765-00054 - USB-A Micro-B</t>
  </si>
  <si>
    <t>Abdeckung RGB LED</t>
  </si>
  <si>
    <t>3314G-1-252E / 2k5</t>
  </si>
  <si>
    <t>2Pol</t>
  </si>
  <si>
    <t>RGB</t>
  </si>
  <si>
    <t>FSM4JSMA</t>
  </si>
  <si>
    <t>Atmel-Ice-Pcba</t>
  </si>
  <si>
    <t>XC6220B331MR-G</t>
  </si>
  <si>
    <t>Logic-IC SO-14, 74HC14D, NXP</t>
  </si>
  <si>
    <t>Texas</t>
  </si>
  <si>
    <t>10uH</t>
  </si>
  <si>
    <t>16MHz</t>
  </si>
  <si>
    <t xml:space="preserve">Ambient Light Sensors PHOTO TRANS.PCB-SMD F.DAYLIGHT 550NM-E4 </t>
  </si>
  <si>
    <t>würth</t>
  </si>
  <si>
    <t>Grün</t>
  </si>
  <si>
    <t xml:space="preserve"> 50k</t>
  </si>
  <si>
    <t>32.768kHz</t>
  </si>
  <si>
    <t>TO-92</t>
  </si>
  <si>
    <t xml:space="preserve">ERB-RG2R00V </t>
  </si>
  <si>
    <t>1x9 Pin SMD</t>
  </si>
  <si>
    <t>3M</t>
  </si>
  <si>
    <t>10kOhm</t>
  </si>
  <si>
    <r>
      <t>10k</t>
    </r>
    <r>
      <rPr>
        <sz val="11"/>
        <color theme="1"/>
        <rFont val="Calibri"/>
        <family val="2"/>
      </rPr>
      <t>Ω</t>
    </r>
  </si>
  <si>
    <r>
      <t>2k</t>
    </r>
    <r>
      <rPr>
        <sz val="11"/>
        <color theme="1"/>
        <rFont val="Calibri"/>
        <family val="2"/>
      </rPr>
      <t>Ω</t>
    </r>
  </si>
  <si>
    <t>12pF  50V</t>
  </si>
  <si>
    <t>18pF  25V</t>
  </si>
  <si>
    <t>Honeywell</t>
  </si>
  <si>
    <t>100uF  16V</t>
  </si>
  <si>
    <r>
      <t>1k</t>
    </r>
    <r>
      <rPr>
        <sz val="11"/>
        <color theme="1"/>
        <rFont val="Calibri"/>
        <family val="2"/>
      </rPr>
      <t>Ω</t>
    </r>
  </si>
  <si>
    <t>1uF 50V</t>
  </si>
  <si>
    <t xml:space="preserve"> 1x36 Breakaway</t>
  </si>
  <si>
    <t>100kΩ</t>
  </si>
  <si>
    <t>100nF  50V</t>
  </si>
  <si>
    <t>Blau</t>
  </si>
  <si>
    <t>150Ω</t>
  </si>
  <si>
    <t>4.7Ohm</t>
  </si>
  <si>
    <t>shotky</t>
  </si>
  <si>
    <t>22nF</t>
  </si>
  <si>
    <t>470R</t>
  </si>
  <si>
    <t>5k1R</t>
  </si>
  <si>
    <t>EADIP203-4</t>
  </si>
  <si>
    <t>TQFP-100</t>
  </si>
  <si>
    <t>9,5x3,8mm</t>
  </si>
  <si>
    <t xml:space="preserve">3314G </t>
  </si>
  <si>
    <t>3.81mm</t>
  </si>
  <si>
    <t>PLCC6</t>
  </si>
  <si>
    <t>5mm</t>
  </si>
  <si>
    <t>none</t>
  </si>
  <si>
    <t>SOT-25</t>
  </si>
  <si>
    <t>SO-14</t>
  </si>
  <si>
    <t>TSSOP-16</t>
  </si>
  <si>
    <t>1206</t>
  </si>
  <si>
    <t>HC49</t>
  </si>
  <si>
    <t>0805</t>
  </si>
  <si>
    <t>2,54mm</t>
  </si>
  <si>
    <t>2.54mm</t>
  </si>
  <si>
    <t>3.2x8.3mm</t>
  </si>
  <si>
    <t>1,27mm</t>
  </si>
  <si>
    <t>2mm</t>
  </si>
  <si>
    <t>PTV09A</t>
  </si>
  <si>
    <t>SOT-23</t>
  </si>
  <si>
    <t>6.3 x 5.4</t>
  </si>
  <si>
    <t>SOD-123-2</t>
  </si>
  <si>
    <t xml:space="preserve">‎1939-2010-ND‎ </t>
  </si>
  <si>
    <t>ATMEGA2560-16AU-ND</t>
  </si>
  <si>
    <t>1175-1627-ND</t>
  </si>
  <si>
    <t>3230-10-0102-00</t>
  </si>
  <si>
    <t>CN211GR-100-ND</t>
  </si>
  <si>
    <t>300-97-569</t>
  </si>
  <si>
    <t>301-25-772</t>
  </si>
  <si>
    <t>LEDCLX6E-FKC-CH1M1D1BB7C3D3</t>
  </si>
  <si>
    <t>865-XC6220B331MR-G</t>
  </si>
  <si>
    <t xml:space="preserve">771-74HC14D-Q100 </t>
  </si>
  <si>
    <t>771-74HC138D-Q100</t>
  </si>
  <si>
    <t>815-AIML-1206-100KT</t>
  </si>
  <si>
    <t xml:space="preserve">695-HCM49-16MABKUT </t>
  </si>
  <si>
    <t xml:space="preserve">78-TEMT6202FX01 </t>
  </si>
  <si>
    <t xml:space="preserve">710-61201421621 </t>
  </si>
  <si>
    <t>571-1-881545-4</t>
  </si>
  <si>
    <t>604-APL3015CGCK-F01</t>
  </si>
  <si>
    <t xml:space="preserve">81-PVG3G503C01R00 </t>
  </si>
  <si>
    <t xml:space="preserve">815-AB38T-32.768KHZ </t>
  </si>
  <si>
    <t>579-MCP9701-E/TO</t>
  </si>
  <si>
    <t xml:space="preserve">667-ERB-RG2R00V </t>
  </si>
  <si>
    <t xml:space="preserve"> 200-SMM10902SSKTR </t>
  </si>
  <si>
    <t>517-30310-6002</t>
  </si>
  <si>
    <t>652-PTV09A-4020UB103</t>
  </si>
  <si>
    <t>71-CRCW120610K0FKEB</t>
  </si>
  <si>
    <t>708-RMCF1206FG2K00</t>
  </si>
  <si>
    <t>77-VJ0805A120GXAPBC</t>
  </si>
  <si>
    <t xml:space="preserve">77-VJ0805A180GXXCBC </t>
  </si>
  <si>
    <t>785-SS39ET</t>
  </si>
  <si>
    <t xml:space="preserve">710-865230245004 </t>
  </si>
  <si>
    <t>71-CRCW12061K00FKEB</t>
  </si>
  <si>
    <t xml:space="preserve">187-CL31B105KOFNNNE </t>
  </si>
  <si>
    <t>538-22-28-4360</t>
  </si>
  <si>
    <t xml:space="preserve">771-PMV450ENEAR </t>
  </si>
  <si>
    <t>771-PMV27UPER</t>
  </si>
  <si>
    <t>71-CRCW1206100KFKEB</t>
  </si>
  <si>
    <t xml:space="preserve">80-C1206C104K5R </t>
  </si>
  <si>
    <t>604-APT3216QBC/D</t>
  </si>
  <si>
    <t xml:space="preserve">708-RMCF1206JT150R </t>
  </si>
  <si>
    <t xml:space="preserve">755-ESR10EZPJ4R7 </t>
  </si>
  <si>
    <t xml:space="preserve">78-SD103CW-HE3_A-08 </t>
  </si>
  <si>
    <t xml:space="preserve">603-CC805JRX7R8BB223 </t>
  </si>
  <si>
    <t xml:space="preserve">652-CR0805JW-471ELF </t>
  </si>
  <si>
    <t xml:space="preserve">755-SFR10EZPF5101 </t>
  </si>
  <si>
    <t>EA DIP203G-4</t>
  </si>
  <si>
    <t>AliExpress</t>
  </si>
  <si>
    <t>digikey</t>
  </si>
  <si>
    <t>Distrelec</t>
  </si>
  <si>
    <t>Farnell</t>
  </si>
  <si>
    <t>Mouser</t>
  </si>
  <si>
    <t>Reichelt</t>
  </si>
  <si>
    <t>https://www.aliexpress.com/item/33002369577.html?spm=a2g0o.cart.0.0.38133c002f24TT&amp;mp=1</t>
  </si>
  <si>
    <t>https://www.aliexpress.com/item/4000857925361.html?spm=a2g0o.productlist.0.0.6db34c76UGt7nw&amp;algo_pvid=3c318690-97c3-4b2c-9b78-99b63b86f658&amp;algo_expid=3c318690-97c3-4b2c-9b78-99b63b86f658-5&amp;btsid=0ab6f82115949047740918104e0a53&amp;ws_ab_test=searchweb0_0,searchweb201602_,searchweb201603_</t>
  </si>
  <si>
    <t>https://www.aliexpress.com/item/32641145656.html?spm=a2g0s.9042311.0.0.1a2c4c4dHblPEt</t>
  </si>
  <si>
    <t>https://www.aliexpress.com/item/1887673102.html?spm=a2g0o.cart.0.0.38133c002f24TT&amp;mp=1</t>
  </si>
  <si>
    <t>‎1939-2010-ND‎</t>
  </si>
  <si>
    <t>https://www.digikey.ch/product-detail/de/cnc-tech/3220-10-0100-00/1175-1627-ND/3883661?cur=CHF&amp;lang=de</t>
  </si>
  <si>
    <t>https://www.digikey.ch/product-detail/de/3230-10-0102-00/3230-10-0102-00-ND/3883464/?itemSeq=343224426</t>
  </si>
  <si>
    <t>https://www.digikey.ch/products/de?keywords=cn211gr-100</t>
  </si>
  <si>
    <t>https://www.distrelec.ch/de/usb-anschluss-auf-usb-micro-anschlusskabel-900mm-schwarz-rnd-connect-rnd-765-00054/p/30125772</t>
  </si>
  <si>
    <t>https://ch.farnell.com/microchip/atatmel-ice-pcba/debugger-atmel-arm-avr-pcba-kit/dp/2407171</t>
  </si>
  <si>
    <t>https://www.mouser.ch/ProductDetail/ROHM-Semiconductor/ESR10EZPJ4R7?qs=sGAEpiMZZMvdGkrng054t4QdAY%2FQ0LwebjgImWXG15U%3D</t>
  </si>
  <si>
    <t>https://www.mouser.ch/ProductDetail/Vishay/SD103CW-HE3_A-08?qs=Imq1NPwxi75eP9XDj9IIZg%3D%3D</t>
  </si>
  <si>
    <t>https://www.mouser.ch/ProductDetail/YAGEO/CC0805JRX7R8BB223?qs=57cj7OiSijk%252BueqZYCThQQ%3D%3D</t>
  </si>
  <si>
    <t>https://www.mouser.ch/ProductDetail/Bourns/CR0805-JW-471ELF?qs=sGAEpiMZZMukHu%252BjC5l7YeTlYklQq7xRXmy1WbvLzUg%3D</t>
  </si>
  <si>
    <t>https://www.mouser.ch/ProductDetail/ROHM-Semiconductor/SFR10EZPF5101?qs=PqoDHHvF6491bPJygeZFGw%3D%3D</t>
  </si>
  <si>
    <t>https://www.reichelt.de/ch/de/lcd-dip-modul-supertwist-4x20-zeichen-gb-gn-ea-dip203g-4-p129611.html?&amp;nbc=1</t>
  </si>
  <si>
    <t>J1</t>
  </si>
  <si>
    <t>J2</t>
  </si>
  <si>
    <t>S5-S12</t>
  </si>
  <si>
    <t>IC2</t>
  </si>
  <si>
    <t>J3</t>
  </si>
  <si>
    <t>R27,R41</t>
  </si>
  <si>
    <t>R13</t>
  </si>
  <si>
    <t>D17</t>
  </si>
  <si>
    <t>D16</t>
  </si>
  <si>
    <t>S1-S4, S13</t>
  </si>
  <si>
    <t>IC6</t>
  </si>
  <si>
    <t>IC5</t>
  </si>
  <si>
    <t>IC1</t>
  </si>
  <si>
    <t>L1</t>
  </si>
  <si>
    <t>Q1</t>
  </si>
  <si>
    <t>U2</t>
  </si>
  <si>
    <t>X3</t>
  </si>
  <si>
    <t>Q2</t>
  </si>
  <si>
    <t>U1</t>
  </si>
  <si>
    <t>F1, F2</t>
  </si>
  <si>
    <t>LCD1, LCD1B</t>
  </si>
  <si>
    <t>X1, X4</t>
  </si>
  <si>
    <t>R1, R6</t>
  </si>
  <si>
    <t>R15, R16</t>
  </si>
  <si>
    <t>C17, C18</t>
  </si>
  <si>
    <t>C8, C9</t>
  </si>
  <si>
    <t>U3, U4</t>
  </si>
  <si>
    <t>C14, C24, C25</t>
  </si>
  <si>
    <t>R11, R12, R14</t>
  </si>
  <si>
    <t>C19, C20, C22</t>
  </si>
  <si>
    <t>JP1-JP3</t>
  </si>
  <si>
    <t>D0-D15</t>
  </si>
  <si>
    <t>D20, D21</t>
  </si>
  <si>
    <t>V1-V21</t>
  </si>
  <si>
    <t>Q3-Q10</t>
  </si>
  <si>
    <t>R3, R4, R8, R9, R26, R45</t>
  </si>
  <si>
    <t>C1-C7, C10-C13, C15, C16, C21, C23, C26</t>
  </si>
  <si>
    <t>R2, R5, R7, R17-R25, R29-R36</t>
  </si>
  <si>
    <t>C27</t>
  </si>
  <si>
    <t>R39, R40</t>
  </si>
  <si>
    <t>R37, R38</t>
  </si>
  <si>
    <t>R10, R28</t>
  </si>
  <si>
    <t>Link</t>
  </si>
  <si>
    <t>Projekt:  uc-Board</t>
  </si>
  <si>
    <t>Baugruppe: A</t>
  </si>
  <si>
    <r>
      <t xml:space="preserve"> </t>
    </r>
    <r>
      <rPr>
        <b/>
        <sz val="11"/>
        <color theme="1"/>
        <rFont val="Aptos Narrow"/>
        <family val="2"/>
        <scheme val="minor"/>
      </rPr>
      <t>Dok-Nr.:</t>
    </r>
    <r>
      <rPr>
        <sz val="11"/>
        <color theme="1"/>
        <rFont val="Aptos Narrow"/>
        <family val="2"/>
        <scheme val="minor"/>
      </rPr>
      <t xml:space="preserve"> 260717.444.2.A</t>
    </r>
  </si>
  <si>
    <t>Erstellt: AP, 17.07.2026</t>
  </si>
  <si>
    <t>Geprüft: DD, 17.07.2026</t>
  </si>
  <si>
    <t>FET N-Kanal</t>
  </si>
  <si>
    <t xml:space="preserve"> 20 V, 0.8A, PMV450ENEAR</t>
  </si>
  <si>
    <t xml:space="preserve">FET P-Kanal </t>
  </si>
  <si>
    <t>20V, 5.6A, 27mΩ, PMV27UPER</t>
  </si>
  <si>
    <t>Bestand 17.7.26</t>
  </si>
  <si>
    <t>benötigt für 25</t>
  </si>
  <si>
    <t>Bestellen: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</si>
</sst>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333333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1"/>
    <xf numFmtId="0" fontId="0" fillId="0" borderId="1" xfId="0" applyBorder="1" applyAlignment="1">
      <alignment horizontal="right" vertical="center" wrapText="1" inden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right" vertical="center"/>
    </xf>
    <xf numFmtId="0" fontId="0" fillId="0" borderId="3" xfId="0" applyBorder="1"/>
    <xf numFmtId="49" fontId="0" fillId="0" borderId="3" xfId="0" applyNumberForma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49" fontId="7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3" xfId="1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3" fillId="0" borderId="4" xfId="1" applyFill="1" applyBorder="1" applyAlignment="1">
      <alignment horizontal="right" vertical="center"/>
    </xf>
    <xf numFmtId="0" fontId="3" fillId="0" borderId="3" xfId="1" applyFill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3" fillId="0" borderId="3" xfId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 indent="1"/>
    </xf>
  </cellXfs>
  <cellStyles count="2">
    <cellStyle name="Link" xfId="1" builtinId="8"/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product-detail/de/3230-10-0102-00/3230-10-0102-00-ND/3883464/?itemSeq=343224426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www.aliexpress.com/item/33002369577.html?spm=a2g0o.cart.0.0.38133c002f24TT&amp;mp=1" TargetMode="External"/><Relationship Id="rId7" Type="http://schemas.openxmlformats.org/officeDocument/2006/relationships/hyperlink" Target="https://www.digikey.ch/de/products/detail/globtek-inc/WR9MA2000USBCFMEDR6B/1018759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h/product-detail/de/cnc-tech/3220-10-0100-00/1175-1627-ND/3883661?cur=CHF&amp;lang=de" TargetMode="External"/><Relationship Id="rId1" Type="http://schemas.openxmlformats.org/officeDocument/2006/relationships/hyperlink" Target="https://www.mouser.ch/ProductDetail/708-RMCF1206FG2K00" TargetMode="External"/><Relationship Id="rId6" Type="http://schemas.openxmlformats.org/officeDocument/2006/relationships/hyperlink" Target="https://www.aliexpress.com/item/32641145656.html?spm=a2g0s.9042311.0.0.1a2c4c4dHblPEt" TargetMode="External"/><Relationship Id="rId11" Type="http://schemas.openxmlformats.org/officeDocument/2006/relationships/hyperlink" Target="https://www.mouser.ch/ProductDetail/YAGEO/CC0805JRX7R8BB223?qs=57cj7OiSijk%252BueqZYCThQQ%3D%3D" TargetMode="External"/><Relationship Id="rId5" Type="http://schemas.openxmlformats.org/officeDocument/2006/relationships/hyperlink" Target="https://www.aliexpress.com/item/1887673102.html?spm=a2g0o.cart.0.0.38133c002f24TT&amp;mp=1" TargetMode="External"/><Relationship Id="rId10" Type="http://schemas.openxmlformats.org/officeDocument/2006/relationships/hyperlink" Target="https://www.mouser.ch/ProductDetail/Vishay/SD103CW-HE3_A-08?qs=Imq1NPwxi75eP9XDj9IIZg%3D%3D" TargetMode="External"/><Relationship Id="rId4" Type="http://schemas.openxmlformats.org/officeDocument/2006/relationships/hyperlink" Target="https://www.aliexpress.com/item/4000857925361.html?spm=a2g0o.productlist.0.0.6db34c76UGt7nw&amp;algo_pvid=3c318690-97c3-4b2c-9b78-99b63b86f658&amp;algo_expid=3c318690-97c3-4b2c-9b78-99b63b86f658-5&amp;btsid=0ab6f82115949047740918104e0a53&amp;ws_ab_test=searchweb0_0,searchweb201602_,searchweb201603_" TargetMode="External"/><Relationship Id="rId9" Type="http://schemas.openxmlformats.org/officeDocument/2006/relationships/hyperlink" Target="https://www.reichelt.de/ch/de/lcd-dip-modul-supertwist-4x20-zeichen-gb-gn-ea-dip203g-4-p129611.html?&amp;nbc=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udmswch.sharepoint.com/:b:/s/MSW-EK/IQADzYVIL4Z6RYHM9LvFaS7cAaHDWcMps8wS34NvU4EJE2s?e=OZbZhI" TargetMode="External"/><Relationship Id="rId1" Type="http://schemas.openxmlformats.org/officeDocument/2006/relationships/hyperlink" Target="https://studmswch.sharepoint.com/:w:/s/MSW-EK/IQD9HyacXsA6R6I1vsnSvZADAQNl2sAuTtJ7mR4emLyg6MU?e=pOfi1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20F3-2F4A-4030-BE4A-B7FE15D0E2CE}">
  <dimension ref="A1:N60"/>
  <sheetViews>
    <sheetView tabSelected="1" zoomScaleNormal="100" workbookViewId="0">
      <pane ySplit="3" topLeftCell="A4" activePane="bottomLeft" state="frozen"/>
      <selection pane="bottomLeft" activeCell="P17" sqref="P17"/>
    </sheetView>
  </sheetViews>
  <sheetFormatPr baseColWidth="10" defaultColWidth="11.42578125" defaultRowHeight="15" x14ac:dyDescent="0.25"/>
  <cols>
    <col min="1" max="1" width="7" style="9" customWidth="1"/>
    <col min="2" max="2" width="17.42578125" style="3" customWidth="1"/>
    <col min="3" max="3" width="7.140625" style="9" customWidth="1"/>
    <col min="4" max="4" width="24.28515625" style="3" customWidth="1"/>
    <col min="5" max="5" width="26.42578125" style="3" customWidth="1"/>
    <col min="6" max="6" width="11.42578125" style="4" customWidth="1"/>
    <col min="7" max="7" width="10.28515625" style="3" bestFit="1" customWidth="1"/>
    <col min="8" max="8" width="15.85546875" style="3" customWidth="1"/>
    <col min="9" max="9" width="22.85546875" style="3" customWidth="1"/>
    <col min="10" max="10" width="16.28515625" style="30" customWidth="1"/>
    <col min="11" max="16384" width="11.42578125" style="2"/>
  </cols>
  <sheetData>
    <row r="1" spans="1:14" s="1" customFormat="1" ht="18.75" customHeight="1" x14ac:dyDescent="0.3">
      <c r="A1" s="26" t="s">
        <v>236</v>
      </c>
      <c r="B1" s="26"/>
      <c r="C1" s="26"/>
      <c r="D1" s="26"/>
      <c r="E1" s="26" t="s">
        <v>237</v>
      </c>
      <c r="F1" s="26"/>
      <c r="G1" s="27" t="s">
        <v>238</v>
      </c>
      <c r="H1" s="27"/>
      <c r="I1" s="27"/>
      <c r="J1" s="29"/>
    </row>
    <row r="2" spans="1:14" ht="18.600000000000001" customHeight="1" x14ac:dyDescent="0.25">
      <c r="A2" s="28" t="s">
        <v>239</v>
      </c>
      <c r="B2" s="28"/>
      <c r="C2" s="28"/>
      <c r="D2" s="28"/>
      <c r="E2" s="28" t="s">
        <v>0</v>
      </c>
      <c r="F2" s="28"/>
      <c r="G2" s="28" t="s">
        <v>240</v>
      </c>
      <c r="H2" s="28"/>
      <c r="I2" s="28"/>
    </row>
    <row r="3" spans="1:14" ht="30.75" thickBot="1" x14ac:dyDescent="0.3">
      <c r="A3" s="6" t="s">
        <v>1</v>
      </c>
      <c r="B3" s="5" t="s">
        <v>2</v>
      </c>
      <c r="C3" s="6" t="s">
        <v>3</v>
      </c>
      <c r="D3" s="5" t="s">
        <v>4</v>
      </c>
      <c r="E3" s="5" t="s">
        <v>5</v>
      </c>
      <c r="F3" s="7" t="s">
        <v>6</v>
      </c>
      <c r="G3" s="5" t="s">
        <v>7</v>
      </c>
      <c r="H3" s="5" t="s">
        <v>8</v>
      </c>
      <c r="I3" s="5" t="s">
        <v>9</v>
      </c>
      <c r="J3" s="30" t="s">
        <v>235</v>
      </c>
      <c r="K3" s="2" t="s">
        <v>245</v>
      </c>
      <c r="L3" s="2" t="s">
        <v>246</v>
      </c>
      <c r="M3" s="2" t="s">
        <v>247</v>
      </c>
      <c r="N3" s="2" t="s">
        <v>247</v>
      </c>
    </row>
    <row r="4" spans="1:14" x14ac:dyDescent="0.25">
      <c r="A4" s="9">
        <v>1</v>
      </c>
      <c r="C4" s="9">
        <v>1</v>
      </c>
      <c r="D4" s="10" t="s">
        <v>12</v>
      </c>
      <c r="E4" s="19" t="s">
        <v>52</v>
      </c>
      <c r="F4" s="10"/>
      <c r="H4" s="24" t="s">
        <v>171</v>
      </c>
      <c r="I4" s="21"/>
      <c r="J4" s="31" t="s">
        <v>177</v>
      </c>
      <c r="K4" s="2">
        <v>10</v>
      </c>
      <c r="L4" s="2">
        <f>C4*25</f>
        <v>25</v>
      </c>
      <c r="M4" s="2">
        <f>L4-K4</f>
        <v>15</v>
      </c>
      <c r="N4" s="2">
        <v>15</v>
      </c>
    </row>
    <row r="5" spans="1:14" x14ac:dyDescent="0.25">
      <c r="A5" s="9">
        <v>2</v>
      </c>
      <c r="B5" s="3" t="s">
        <v>193</v>
      </c>
      <c r="C5" s="39">
        <v>1</v>
      </c>
      <c r="D5" s="11" t="s">
        <v>13</v>
      </c>
      <c r="E5" s="15" t="s">
        <v>53</v>
      </c>
      <c r="F5" s="11"/>
      <c r="H5" s="25" t="s">
        <v>171</v>
      </c>
      <c r="I5" s="21"/>
      <c r="J5" s="32" t="s">
        <v>178</v>
      </c>
      <c r="K5" s="2">
        <v>195</v>
      </c>
      <c r="L5" s="2">
        <f t="shared" ref="L5:L59" si="0">C5*25</f>
        <v>25</v>
      </c>
      <c r="M5" s="2">
        <f t="shared" ref="M5:M59" si="1">L5-K5</f>
        <v>-170</v>
      </c>
    </row>
    <row r="6" spans="1:14" x14ac:dyDescent="0.25">
      <c r="A6" s="9">
        <v>3</v>
      </c>
      <c r="B6" s="3" t="s">
        <v>194</v>
      </c>
      <c r="C6" s="39">
        <v>1</v>
      </c>
      <c r="D6" s="11" t="s">
        <v>14</v>
      </c>
      <c r="E6" s="17" t="s">
        <v>54</v>
      </c>
      <c r="F6" s="12"/>
      <c r="H6" s="25" t="s">
        <v>171</v>
      </c>
      <c r="I6" s="11"/>
      <c r="J6" s="32" t="s">
        <v>179</v>
      </c>
      <c r="K6" s="2">
        <v>89</v>
      </c>
      <c r="L6" s="2">
        <f t="shared" si="0"/>
        <v>25</v>
      </c>
      <c r="M6" s="2">
        <f t="shared" si="1"/>
        <v>-64</v>
      </c>
    </row>
    <row r="7" spans="1:14" x14ac:dyDescent="0.25">
      <c r="A7" s="9">
        <v>4</v>
      </c>
      <c r="B7" s="3" t="s">
        <v>195</v>
      </c>
      <c r="C7" s="39">
        <v>8</v>
      </c>
      <c r="D7" s="11" t="s">
        <v>15</v>
      </c>
      <c r="E7" s="15" t="s">
        <v>55</v>
      </c>
      <c r="F7" s="11"/>
      <c r="H7" s="25" t="s">
        <v>171</v>
      </c>
      <c r="I7" s="11"/>
      <c r="J7" s="32" t="s">
        <v>180</v>
      </c>
      <c r="K7" s="2">
        <v>200</v>
      </c>
      <c r="L7" s="2">
        <f t="shared" si="0"/>
        <v>200</v>
      </c>
      <c r="M7" s="2">
        <f t="shared" si="1"/>
        <v>0</v>
      </c>
    </row>
    <row r="8" spans="1:14" x14ac:dyDescent="0.25">
      <c r="A8" s="9">
        <v>5</v>
      </c>
      <c r="C8" s="39">
        <v>0</v>
      </c>
      <c r="D8" s="11" t="s">
        <v>16</v>
      </c>
      <c r="E8" s="16" t="s">
        <v>56</v>
      </c>
      <c r="F8" s="12"/>
      <c r="H8" s="25" t="s">
        <v>172</v>
      </c>
      <c r="I8" s="2" t="s">
        <v>126</v>
      </c>
      <c r="J8" s="32" t="s">
        <v>181</v>
      </c>
      <c r="L8" s="2">
        <f t="shared" si="0"/>
        <v>0</v>
      </c>
      <c r="M8" s="2">
        <f t="shared" si="1"/>
        <v>0</v>
      </c>
    </row>
    <row r="9" spans="1:14" x14ac:dyDescent="0.25">
      <c r="A9" s="9">
        <v>6</v>
      </c>
      <c r="B9" s="3" t="s">
        <v>196</v>
      </c>
      <c r="C9" s="39">
        <v>1</v>
      </c>
      <c r="D9" s="11" t="s">
        <v>17</v>
      </c>
      <c r="E9" s="15" t="s">
        <v>57</v>
      </c>
      <c r="F9" s="12" t="s">
        <v>104</v>
      </c>
      <c r="H9" s="25" t="s">
        <v>172</v>
      </c>
      <c r="I9" t="s">
        <v>127</v>
      </c>
      <c r="J9" s="33"/>
      <c r="K9" s="2">
        <v>72</v>
      </c>
      <c r="L9" s="2">
        <f t="shared" si="0"/>
        <v>25</v>
      </c>
      <c r="M9" s="2">
        <f t="shared" si="1"/>
        <v>-47</v>
      </c>
    </row>
    <row r="10" spans="1:14" x14ac:dyDescent="0.25">
      <c r="A10" s="9">
        <v>7</v>
      </c>
      <c r="B10" s="3" t="s">
        <v>197</v>
      </c>
      <c r="C10" s="39">
        <v>1</v>
      </c>
      <c r="D10" s="11" t="s">
        <v>18</v>
      </c>
      <c r="E10" s="15" t="s">
        <v>58</v>
      </c>
      <c r="F10" s="11"/>
      <c r="H10" s="25" t="s">
        <v>172</v>
      </c>
      <c r="I10" s="11" t="s">
        <v>128</v>
      </c>
      <c r="J10" s="32" t="s">
        <v>182</v>
      </c>
      <c r="K10" s="2">
        <v>85</v>
      </c>
      <c r="L10" s="2">
        <f t="shared" si="0"/>
        <v>25</v>
      </c>
      <c r="M10" s="2">
        <f t="shared" si="1"/>
        <v>-60</v>
      </c>
    </row>
    <row r="11" spans="1:14" x14ac:dyDescent="0.25">
      <c r="A11" s="9">
        <v>8</v>
      </c>
      <c r="C11" s="39">
        <v>2</v>
      </c>
      <c r="D11" s="13" t="s">
        <v>19</v>
      </c>
      <c r="E11" s="18" t="s">
        <v>59</v>
      </c>
      <c r="F11" s="20"/>
      <c r="H11" s="25" t="s">
        <v>172</v>
      </c>
      <c r="I11" s="16" t="s">
        <v>129</v>
      </c>
      <c r="J11" s="34" t="s">
        <v>183</v>
      </c>
      <c r="K11" s="2">
        <v>220</v>
      </c>
      <c r="L11" s="2">
        <f t="shared" si="0"/>
        <v>50</v>
      </c>
      <c r="M11" s="2">
        <f t="shared" si="1"/>
        <v>-170</v>
      </c>
    </row>
    <row r="12" spans="1:14" x14ac:dyDescent="0.25">
      <c r="A12" s="9">
        <v>9</v>
      </c>
      <c r="C12" s="39">
        <v>1</v>
      </c>
      <c r="D12" s="12" t="s">
        <v>20</v>
      </c>
      <c r="E12" s="16" t="s">
        <v>60</v>
      </c>
      <c r="F12" s="12"/>
      <c r="H12" s="25" t="s">
        <v>172</v>
      </c>
      <c r="I12" s="16" t="s">
        <v>130</v>
      </c>
      <c r="J12" s="15" t="s">
        <v>184</v>
      </c>
      <c r="K12" s="2">
        <v>25</v>
      </c>
      <c r="L12" s="2">
        <f t="shared" si="0"/>
        <v>25</v>
      </c>
      <c r="M12" s="2">
        <f t="shared" si="1"/>
        <v>0</v>
      </c>
    </row>
    <row r="13" spans="1:14" x14ac:dyDescent="0.25">
      <c r="A13" s="9">
        <v>10</v>
      </c>
      <c r="C13" s="39">
        <v>1</v>
      </c>
      <c r="D13" s="11" t="s">
        <v>21</v>
      </c>
      <c r="E13" s="15" t="s">
        <v>61</v>
      </c>
      <c r="F13" s="12"/>
      <c r="H13" s="25" t="s">
        <v>172</v>
      </c>
      <c r="I13" s="21"/>
      <c r="J13" s="15"/>
      <c r="K13" s="2">
        <v>25</v>
      </c>
      <c r="L13" s="2">
        <f t="shared" si="0"/>
        <v>25</v>
      </c>
      <c r="M13" s="2">
        <f t="shared" si="1"/>
        <v>0</v>
      </c>
    </row>
    <row r="14" spans="1:14" x14ac:dyDescent="0.25">
      <c r="A14" s="9">
        <v>11</v>
      </c>
      <c r="C14" s="39">
        <v>4</v>
      </c>
      <c r="D14" s="11" t="s">
        <v>22</v>
      </c>
      <c r="E14" s="15" t="s">
        <v>62</v>
      </c>
      <c r="F14" s="12" t="s">
        <v>105</v>
      </c>
      <c r="H14" s="25" t="s">
        <v>173</v>
      </c>
      <c r="I14" s="11" t="s">
        <v>131</v>
      </c>
      <c r="J14" s="15"/>
      <c r="K14" s="2">
        <v>480</v>
      </c>
      <c r="L14" s="2">
        <f t="shared" si="0"/>
        <v>100</v>
      </c>
      <c r="M14" s="2">
        <f t="shared" si="1"/>
        <v>-380</v>
      </c>
    </row>
    <row r="15" spans="1:14" x14ac:dyDescent="0.25">
      <c r="A15" s="9">
        <v>12</v>
      </c>
      <c r="C15" s="39">
        <v>1</v>
      </c>
      <c r="D15" s="12" t="s">
        <v>23</v>
      </c>
      <c r="E15" s="16" t="s">
        <v>63</v>
      </c>
      <c r="F15" s="12"/>
      <c r="H15" s="25" t="s">
        <v>173</v>
      </c>
      <c r="I15" s="11" t="s">
        <v>132</v>
      </c>
      <c r="J15" s="15" t="s">
        <v>185</v>
      </c>
      <c r="K15" s="2">
        <v>25</v>
      </c>
      <c r="L15" s="2">
        <f t="shared" si="0"/>
        <v>25</v>
      </c>
      <c r="M15" s="2">
        <f t="shared" si="1"/>
        <v>0</v>
      </c>
    </row>
    <row r="16" spans="1:14" x14ac:dyDescent="0.25">
      <c r="A16" s="9">
        <v>13</v>
      </c>
      <c r="C16" s="39">
        <v>1</v>
      </c>
      <c r="D16" s="12" t="s">
        <v>24</v>
      </c>
      <c r="E16" s="17" t="s">
        <v>64</v>
      </c>
      <c r="F16" s="12"/>
      <c r="H16" s="25" t="s">
        <v>174</v>
      </c>
      <c r="I16" s="11">
        <v>1215771</v>
      </c>
      <c r="J16" s="15"/>
      <c r="K16" s="2">
        <v>12</v>
      </c>
      <c r="L16" s="2">
        <f t="shared" si="0"/>
        <v>25</v>
      </c>
      <c r="M16" s="2">
        <f t="shared" si="1"/>
        <v>13</v>
      </c>
      <c r="N16" s="2">
        <v>22</v>
      </c>
    </row>
    <row r="17" spans="1:13" x14ac:dyDescent="0.25">
      <c r="A17" s="9">
        <v>14</v>
      </c>
      <c r="B17" s="3" t="s">
        <v>199</v>
      </c>
      <c r="C17" s="39">
        <v>1</v>
      </c>
      <c r="D17" s="11" t="s">
        <v>25</v>
      </c>
      <c r="E17" s="15" t="s">
        <v>65</v>
      </c>
      <c r="F17" s="11" t="s">
        <v>106</v>
      </c>
      <c r="H17" s="25" t="s">
        <v>174</v>
      </c>
      <c r="I17" s="21">
        <v>2328470</v>
      </c>
      <c r="J17" s="15"/>
      <c r="K17" s="2">
        <v>160</v>
      </c>
      <c r="L17" s="2">
        <f t="shared" si="0"/>
        <v>25</v>
      </c>
      <c r="M17" s="2">
        <f t="shared" si="1"/>
        <v>-135</v>
      </c>
    </row>
    <row r="18" spans="1:13" x14ac:dyDescent="0.25">
      <c r="A18" s="9">
        <v>15</v>
      </c>
      <c r="C18" s="39">
        <v>0</v>
      </c>
      <c r="D18" s="11" t="s">
        <v>26</v>
      </c>
      <c r="E18" s="17" t="s">
        <v>66</v>
      </c>
      <c r="F18" s="12" t="s">
        <v>107</v>
      </c>
      <c r="H18" s="25" t="s">
        <v>174</v>
      </c>
      <c r="I18" s="11">
        <v>3704725</v>
      </c>
      <c r="J18" s="15"/>
      <c r="L18" s="2">
        <f t="shared" si="0"/>
        <v>0</v>
      </c>
      <c r="M18" s="2">
        <f t="shared" si="1"/>
        <v>0</v>
      </c>
    </row>
    <row r="19" spans="1:13" x14ac:dyDescent="0.25">
      <c r="A19" s="9">
        <v>16</v>
      </c>
      <c r="C19" s="39">
        <v>0</v>
      </c>
      <c r="D19" s="11" t="s">
        <v>27</v>
      </c>
      <c r="E19" s="17" t="s">
        <v>66</v>
      </c>
      <c r="F19" s="12" t="s">
        <v>107</v>
      </c>
      <c r="H19" s="25" t="s">
        <v>174</v>
      </c>
      <c r="I19" s="11">
        <v>3704907</v>
      </c>
      <c r="J19" s="15"/>
      <c r="L19" s="2">
        <f t="shared" si="0"/>
        <v>0</v>
      </c>
      <c r="M19" s="2">
        <f t="shared" si="1"/>
        <v>0</v>
      </c>
    </row>
    <row r="20" spans="1:13" x14ac:dyDescent="0.25">
      <c r="A20" s="9">
        <v>17</v>
      </c>
      <c r="B20" s="3" t="s">
        <v>201</v>
      </c>
      <c r="C20" s="39">
        <v>1</v>
      </c>
      <c r="D20" s="11" t="s">
        <v>28</v>
      </c>
      <c r="E20" s="17" t="s">
        <v>67</v>
      </c>
      <c r="F20" s="12" t="s">
        <v>108</v>
      </c>
      <c r="H20" s="25" t="s">
        <v>174</v>
      </c>
      <c r="I20" s="11" t="s">
        <v>133</v>
      </c>
      <c r="J20" s="15"/>
      <c r="K20" s="2">
        <v>70</v>
      </c>
      <c r="L20" s="2">
        <f t="shared" si="0"/>
        <v>25</v>
      </c>
      <c r="M20" s="2">
        <f t="shared" si="1"/>
        <v>-45</v>
      </c>
    </row>
    <row r="21" spans="1:13" x14ac:dyDescent="0.25">
      <c r="A21" s="9">
        <v>18</v>
      </c>
      <c r="B21" s="3" t="s">
        <v>202</v>
      </c>
      <c r="C21" s="39">
        <v>5</v>
      </c>
      <c r="D21" s="12" t="s">
        <v>29</v>
      </c>
      <c r="E21" s="15" t="s">
        <v>68</v>
      </c>
      <c r="F21" s="12" t="s">
        <v>109</v>
      </c>
      <c r="H21" s="25" t="s">
        <v>174</v>
      </c>
      <c r="I21" s="11">
        <v>3801305</v>
      </c>
      <c r="J21" s="15"/>
      <c r="K21" s="2">
        <v>390</v>
      </c>
      <c r="L21" s="2">
        <f t="shared" si="0"/>
        <v>125</v>
      </c>
      <c r="M21" s="2">
        <f t="shared" si="1"/>
        <v>-265</v>
      </c>
    </row>
    <row r="22" spans="1:13" x14ac:dyDescent="0.25">
      <c r="A22" s="9">
        <v>19</v>
      </c>
      <c r="C22" s="39">
        <v>1</v>
      </c>
      <c r="D22" s="11" t="s">
        <v>30</v>
      </c>
      <c r="E22" s="15" t="s">
        <v>69</v>
      </c>
      <c r="F22" s="11" t="s">
        <v>110</v>
      </c>
      <c r="H22" s="25" t="s">
        <v>174</v>
      </c>
      <c r="I22">
        <v>2407171</v>
      </c>
      <c r="J22" s="15" t="s">
        <v>186</v>
      </c>
      <c r="K22" s="2">
        <v>25</v>
      </c>
      <c r="L22" s="2">
        <f t="shared" si="0"/>
        <v>25</v>
      </c>
      <c r="M22" s="2">
        <f t="shared" si="1"/>
        <v>0</v>
      </c>
    </row>
    <row r="23" spans="1:13" x14ac:dyDescent="0.25">
      <c r="A23" s="9">
        <v>20</v>
      </c>
      <c r="B23" s="3" t="s">
        <v>203</v>
      </c>
      <c r="C23" s="39">
        <v>1</v>
      </c>
      <c r="D23" s="11" t="s">
        <v>31</v>
      </c>
      <c r="E23" s="15" t="s">
        <v>70</v>
      </c>
      <c r="F23" s="12" t="s">
        <v>111</v>
      </c>
      <c r="H23" s="25" t="s">
        <v>175</v>
      </c>
      <c r="I23" s="16" t="s">
        <v>134</v>
      </c>
      <c r="J23" s="15"/>
      <c r="K23" s="2">
        <v>105</v>
      </c>
      <c r="L23" s="2">
        <f t="shared" si="0"/>
        <v>25</v>
      </c>
      <c r="M23" s="2">
        <f t="shared" si="1"/>
        <v>-80</v>
      </c>
    </row>
    <row r="24" spans="1:13" x14ac:dyDescent="0.25">
      <c r="A24" s="9">
        <v>21</v>
      </c>
      <c r="B24" s="3" t="s">
        <v>205</v>
      </c>
      <c r="C24" s="39">
        <v>1</v>
      </c>
      <c r="D24" s="11" t="s">
        <v>32</v>
      </c>
      <c r="E24" s="15" t="s">
        <v>71</v>
      </c>
      <c r="F24" s="12" t="s">
        <v>112</v>
      </c>
      <c r="H24" s="25" t="s">
        <v>175</v>
      </c>
      <c r="I24" s="16" t="s">
        <v>135</v>
      </c>
      <c r="J24" s="15"/>
      <c r="K24" s="2">
        <v>52</v>
      </c>
      <c r="L24" s="2">
        <f t="shared" si="0"/>
        <v>25</v>
      </c>
      <c r="M24" s="2">
        <f t="shared" si="1"/>
        <v>-27</v>
      </c>
    </row>
    <row r="25" spans="1:13" x14ac:dyDescent="0.25">
      <c r="A25" s="9">
        <v>22</v>
      </c>
      <c r="B25" s="3" t="s">
        <v>204</v>
      </c>
      <c r="C25" s="39">
        <v>1</v>
      </c>
      <c r="D25" s="11" t="s">
        <v>33</v>
      </c>
      <c r="E25" s="15" t="s">
        <v>72</v>
      </c>
      <c r="F25" s="12" t="s">
        <v>113</v>
      </c>
      <c r="H25" s="25" t="s">
        <v>175</v>
      </c>
      <c r="I25" s="11" t="s">
        <v>136</v>
      </c>
      <c r="J25" s="15"/>
      <c r="K25" s="2">
        <v>52</v>
      </c>
      <c r="L25" s="2">
        <f t="shared" si="0"/>
        <v>25</v>
      </c>
      <c r="M25" s="2">
        <f t="shared" si="1"/>
        <v>-27</v>
      </c>
    </row>
    <row r="26" spans="1:13" ht="15.75" x14ac:dyDescent="0.25">
      <c r="A26" s="9">
        <v>23</v>
      </c>
      <c r="B26" s="3" t="s">
        <v>206</v>
      </c>
      <c r="C26" s="39">
        <v>1</v>
      </c>
      <c r="D26" s="11" t="s">
        <v>34</v>
      </c>
      <c r="E26" s="15" t="s">
        <v>73</v>
      </c>
      <c r="F26" s="12" t="s">
        <v>114</v>
      </c>
      <c r="H26" s="25" t="s">
        <v>175</v>
      </c>
      <c r="I26" s="22" t="s">
        <v>137</v>
      </c>
      <c r="J26" s="35"/>
      <c r="K26" s="2">
        <v>94</v>
      </c>
      <c r="L26" s="2">
        <f t="shared" si="0"/>
        <v>25</v>
      </c>
      <c r="M26" s="2">
        <f t="shared" si="1"/>
        <v>-69</v>
      </c>
    </row>
    <row r="27" spans="1:13" x14ac:dyDescent="0.25">
      <c r="A27" s="9">
        <v>24</v>
      </c>
      <c r="B27" s="3" t="s">
        <v>207</v>
      </c>
      <c r="C27" s="39">
        <v>1</v>
      </c>
      <c r="D27" s="11" t="s">
        <v>35</v>
      </c>
      <c r="E27" s="15" t="s">
        <v>74</v>
      </c>
      <c r="F27" s="12" t="s">
        <v>115</v>
      </c>
      <c r="H27" s="25" t="s">
        <v>175</v>
      </c>
      <c r="I27" s="16" t="s">
        <v>138</v>
      </c>
      <c r="J27" s="15"/>
      <c r="K27" s="2">
        <v>108</v>
      </c>
      <c r="L27" s="2">
        <f t="shared" si="0"/>
        <v>25</v>
      </c>
      <c r="M27" s="2">
        <f t="shared" si="1"/>
        <v>-83</v>
      </c>
    </row>
    <row r="28" spans="1:13" x14ac:dyDescent="0.25">
      <c r="A28" s="9">
        <v>25</v>
      </c>
      <c r="B28" s="3" t="s">
        <v>208</v>
      </c>
      <c r="C28" s="39">
        <v>1</v>
      </c>
      <c r="D28" s="11" t="s">
        <v>36</v>
      </c>
      <c r="E28" s="15" t="s">
        <v>75</v>
      </c>
      <c r="F28" s="12" t="s">
        <v>116</v>
      </c>
      <c r="H28" s="25" t="s">
        <v>175</v>
      </c>
      <c r="I28" s="36" t="s">
        <v>139</v>
      </c>
      <c r="J28" s="15"/>
      <c r="K28" s="2">
        <v>120</v>
      </c>
      <c r="L28" s="2">
        <f t="shared" si="0"/>
        <v>25</v>
      </c>
      <c r="M28" s="2">
        <f t="shared" si="1"/>
        <v>-95</v>
      </c>
    </row>
    <row r="29" spans="1:13" x14ac:dyDescent="0.25">
      <c r="A29" s="9">
        <v>26</v>
      </c>
      <c r="B29" s="3" t="s">
        <v>209</v>
      </c>
      <c r="C29" s="39">
        <v>1</v>
      </c>
      <c r="D29" s="11" t="s">
        <v>37</v>
      </c>
      <c r="E29" s="15" t="s">
        <v>76</v>
      </c>
      <c r="F29" s="12" t="s">
        <v>117</v>
      </c>
      <c r="H29" s="25" t="s">
        <v>175</v>
      </c>
      <c r="I29" s="36" t="s">
        <v>140</v>
      </c>
      <c r="J29" s="15"/>
      <c r="K29" s="2">
        <v>90</v>
      </c>
      <c r="L29" s="2">
        <f t="shared" si="0"/>
        <v>25</v>
      </c>
      <c r="M29" s="2">
        <f t="shared" si="1"/>
        <v>-65</v>
      </c>
    </row>
    <row r="30" spans="1:13" x14ac:dyDescent="0.25">
      <c r="A30" s="9">
        <v>27</v>
      </c>
      <c r="C30" s="39">
        <v>1</v>
      </c>
      <c r="D30" s="11" t="s">
        <v>38</v>
      </c>
      <c r="E30" s="17" t="s">
        <v>38</v>
      </c>
      <c r="F30" s="12" t="s">
        <v>118</v>
      </c>
      <c r="H30" s="25" t="s">
        <v>175</v>
      </c>
      <c r="I30" s="11" t="s">
        <v>141</v>
      </c>
      <c r="J30" s="15"/>
      <c r="K30" s="2">
        <v>256</v>
      </c>
      <c r="L30" s="2">
        <f t="shared" si="0"/>
        <v>25</v>
      </c>
      <c r="M30" s="2">
        <f t="shared" si="1"/>
        <v>-231</v>
      </c>
    </row>
    <row r="31" spans="1:13" x14ac:dyDescent="0.25">
      <c r="A31" s="9">
        <v>28</v>
      </c>
      <c r="B31" s="3" t="s">
        <v>200</v>
      </c>
      <c r="C31" s="39">
        <v>1</v>
      </c>
      <c r="D31" s="11" t="s">
        <v>28</v>
      </c>
      <c r="E31" s="17" t="s">
        <v>77</v>
      </c>
      <c r="F31" s="12" t="s">
        <v>114</v>
      </c>
      <c r="H31" s="25" t="s">
        <v>175</v>
      </c>
      <c r="I31" s="11" t="s">
        <v>142</v>
      </c>
      <c r="J31" s="15"/>
      <c r="K31" s="2">
        <v>80</v>
      </c>
      <c r="L31" s="2">
        <f t="shared" si="0"/>
        <v>25</v>
      </c>
      <c r="M31" s="2">
        <f t="shared" si="1"/>
        <v>-55</v>
      </c>
    </row>
    <row r="32" spans="1:13" x14ac:dyDescent="0.25">
      <c r="A32" s="9">
        <v>29</v>
      </c>
      <c r="B32" s="3" t="s">
        <v>198</v>
      </c>
      <c r="C32" s="39">
        <v>2</v>
      </c>
      <c r="D32" s="11" t="s">
        <v>25</v>
      </c>
      <c r="E32" s="15" t="s">
        <v>78</v>
      </c>
      <c r="F32" s="13"/>
      <c r="H32" s="25" t="s">
        <v>175</v>
      </c>
      <c r="I32" s="16" t="s">
        <v>143</v>
      </c>
      <c r="J32" s="15"/>
      <c r="K32" s="2">
        <v>195</v>
      </c>
      <c r="L32" s="2">
        <f t="shared" si="0"/>
        <v>50</v>
      </c>
      <c r="M32" s="2">
        <f t="shared" si="1"/>
        <v>-145</v>
      </c>
    </row>
    <row r="33" spans="1:13" x14ac:dyDescent="0.25">
      <c r="A33" s="9">
        <v>30</v>
      </c>
      <c r="B33" s="3" t="s">
        <v>210</v>
      </c>
      <c r="C33" s="39">
        <v>1</v>
      </c>
      <c r="D33" s="11" t="s">
        <v>35</v>
      </c>
      <c r="E33" s="17" t="s">
        <v>79</v>
      </c>
      <c r="F33" s="12" t="s">
        <v>119</v>
      </c>
      <c r="H33" s="25" t="s">
        <v>175</v>
      </c>
      <c r="I33" s="11" t="s">
        <v>144</v>
      </c>
      <c r="J33" s="15"/>
      <c r="K33" s="2">
        <v>128</v>
      </c>
      <c r="L33" s="2">
        <f t="shared" si="0"/>
        <v>25</v>
      </c>
      <c r="M33" s="2">
        <f t="shared" si="1"/>
        <v>-103</v>
      </c>
    </row>
    <row r="34" spans="1:13" x14ac:dyDescent="0.25">
      <c r="A34" s="9">
        <v>31</v>
      </c>
      <c r="B34" s="3" t="s">
        <v>211</v>
      </c>
      <c r="C34" s="39">
        <v>1</v>
      </c>
      <c r="D34" s="11" t="s">
        <v>39</v>
      </c>
      <c r="E34" s="18" t="s">
        <v>80</v>
      </c>
      <c r="F34" s="20" t="s">
        <v>120</v>
      </c>
      <c r="H34" s="25" t="s">
        <v>175</v>
      </c>
      <c r="I34" s="11" t="s">
        <v>145</v>
      </c>
      <c r="J34" s="15"/>
      <c r="K34" s="2">
        <v>100</v>
      </c>
      <c r="L34" s="2">
        <f t="shared" si="0"/>
        <v>25</v>
      </c>
      <c r="M34" s="2">
        <f t="shared" si="1"/>
        <v>-75</v>
      </c>
    </row>
    <row r="35" spans="1:13" x14ac:dyDescent="0.25">
      <c r="A35" s="9">
        <v>32</v>
      </c>
      <c r="B35" s="3" t="s">
        <v>212</v>
      </c>
      <c r="C35" s="39">
        <v>2</v>
      </c>
      <c r="D35" s="11" t="s">
        <v>40</v>
      </c>
      <c r="E35" s="15" t="s">
        <v>81</v>
      </c>
      <c r="F35" s="11">
        <v>1206</v>
      </c>
      <c r="H35" s="25" t="s">
        <v>175</v>
      </c>
      <c r="I35" s="16" t="s">
        <v>146</v>
      </c>
      <c r="J35" s="15"/>
      <c r="K35" s="2">
        <v>110</v>
      </c>
      <c r="L35" s="2">
        <f t="shared" si="0"/>
        <v>50</v>
      </c>
      <c r="M35" s="2">
        <f t="shared" si="1"/>
        <v>-60</v>
      </c>
    </row>
    <row r="36" spans="1:13" x14ac:dyDescent="0.25">
      <c r="A36" s="9">
        <v>33</v>
      </c>
      <c r="B36" s="3" t="s">
        <v>213</v>
      </c>
      <c r="C36" s="39">
        <v>2</v>
      </c>
      <c r="D36" s="14" t="s">
        <v>41</v>
      </c>
      <c r="E36" s="18" t="s">
        <v>82</v>
      </c>
      <c r="F36" s="20" t="s">
        <v>121</v>
      </c>
      <c r="H36" s="25" t="s">
        <v>175</v>
      </c>
      <c r="I36" s="37" t="s">
        <v>147</v>
      </c>
      <c r="J36" s="15"/>
      <c r="K36" s="2">
        <v>190</v>
      </c>
      <c r="L36" s="2">
        <f t="shared" si="0"/>
        <v>50</v>
      </c>
      <c r="M36" s="2">
        <f t="shared" si="1"/>
        <v>-140</v>
      </c>
    </row>
    <row r="37" spans="1:13" x14ac:dyDescent="0.25">
      <c r="A37" s="9">
        <v>34</v>
      </c>
      <c r="B37" s="3" t="s">
        <v>214</v>
      </c>
      <c r="C37" s="39">
        <v>3</v>
      </c>
      <c r="D37" s="11" t="s">
        <v>42</v>
      </c>
      <c r="E37" s="15" t="s">
        <v>83</v>
      </c>
      <c r="F37" s="12" t="s">
        <v>117</v>
      </c>
      <c r="H37" s="25" t="s">
        <v>175</v>
      </c>
      <c r="I37" s="11" t="s">
        <v>148</v>
      </c>
      <c r="J37" s="15"/>
      <c r="K37" s="2">
        <v>240</v>
      </c>
      <c r="L37" s="2">
        <f t="shared" si="0"/>
        <v>75</v>
      </c>
      <c r="M37" s="2">
        <f t="shared" si="1"/>
        <v>-165</v>
      </c>
    </row>
    <row r="38" spans="1:13" x14ac:dyDescent="0.25">
      <c r="A38" s="9">
        <v>35</v>
      </c>
      <c r="B38" s="3" t="s">
        <v>215</v>
      </c>
      <c r="C38" s="39">
        <v>2</v>
      </c>
      <c r="D38" s="11" t="s">
        <v>43</v>
      </c>
      <c r="E38" s="15" t="s">
        <v>84</v>
      </c>
      <c r="F38" s="12" t="s">
        <v>122</v>
      </c>
      <c r="H38" s="25" t="s">
        <v>175</v>
      </c>
      <c r="I38" s="11" t="s">
        <v>149</v>
      </c>
      <c r="J38" s="15"/>
      <c r="K38" s="2">
        <v>164</v>
      </c>
      <c r="L38" s="2">
        <f t="shared" si="0"/>
        <v>50</v>
      </c>
      <c r="M38" s="2">
        <f t="shared" si="1"/>
        <v>-114</v>
      </c>
    </row>
    <row r="39" spans="1:13" x14ac:dyDescent="0.25">
      <c r="A39" s="9">
        <v>36</v>
      </c>
      <c r="B39" s="3" t="s">
        <v>234</v>
      </c>
      <c r="C39" s="39">
        <v>2</v>
      </c>
      <c r="D39" s="11" t="s">
        <v>44</v>
      </c>
      <c r="E39" s="15" t="s">
        <v>85</v>
      </c>
      <c r="F39" s="12" t="s">
        <v>114</v>
      </c>
      <c r="H39" s="25" t="s">
        <v>175</v>
      </c>
      <c r="I39" s="11" t="s">
        <v>150</v>
      </c>
      <c r="J39" s="15"/>
      <c r="K39" s="2">
        <v>400</v>
      </c>
      <c r="L39" s="2">
        <f t="shared" si="0"/>
        <v>50</v>
      </c>
      <c r="M39" s="2">
        <f t="shared" si="1"/>
        <v>-350</v>
      </c>
    </row>
    <row r="40" spans="1:13" x14ac:dyDescent="0.25">
      <c r="A40" s="9">
        <v>37</v>
      </c>
      <c r="B40" s="3" t="s">
        <v>216</v>
      </c>
      <c r="C40" s="39">
        <v>2</v>
      </c>
      <c r="D40" s="11" t="s">
        <v>44</v>
      </c>
      <c r="E40" s="17" t="s">
        <v>86</v>
      </c>
      <c r="F40" s="12" t="s">
        <v>114</v>
      </c>
      <c r="H40" s="25" t="s">
        <v>175</v>
      </c>
      <c r="I40" s="23" t="s">
        <v>151</v>
      </c>
      <c r="J40" s="15"/>
      <c r="K40" s="2">
        <v>300</v>
      </c>
      <c r="L40" s="2">
        <f t="shared" si="0"/>
        <v>50</v>
      </c>
      <c r="M40" s="2">
        <f t="shared" si="1"/>
        <v>-250</v>
      </c>
    </row>
    <row r="41" spans="1:13" x14ac:dyDescent="0.25">
      <c r="A41" s="9">
        <v>38</v>
      </c>
      <c r="B41" s="3" t="s">
        <v>217</v>
      </c>
      <c r="C41" s="39">
        <v>2</v>
      </c>
      <c r="D41" s="11" t="s">
        <v>45</v>
      </c>
      <c r="E41" s="17" t="s">
        <v>87</v>
      </c>
      <c r="F41" s="12" t="s">
        <v>116</v>
      </c>
      <c r="H41" s="25" t="s">
        <v>175</v>
      </c>
      <c r="I41" s="37" t="s">
        <v>152</v>
      </c>
      <c r="J41" s="15"/>
      <c r="K41" s="2">
        <v>130</v>
      </c>
      <c r="L41" s="2">
        <f t="shared" si="0"/>
        <v>50</v>
      </c>
      <c r="M41" s="2">
        <f t="shared" si="1"/>
        <v>-80</v>
      </c>
    </row>
    <row r="42" spans="1:13" x14ac:dyDescent="0.25">
      <c r="A42" s="9">
        <v>39</v>
      </c>
      <c r="B42" s="3" t="s">
        <v>218</v>
      </c>
      <c r="C42" s="39">
        <v>2</v>
      </c>
      <c r="D42" s="11" t="s">
        <v>45</v>
      </c>
      <c r="E42" s="17" t="s">
        <v>88</v>
      </c>
      <c r="F42" s="12" t="s">
        <v>116</v>
      </c>
      <c r="H42" s="25" t="s">
        <v>175</v>
      </c>
      <c r="I42" s="37" t="s">
        <v>153</v>
      </c>
      <c r="J42" s="15"/>
      <c r="K42" s="2">
        <v>86</v>
      </c>
      <c r="L42" s="2">
        <f t="shared" si="0"/>
        <v>50</v>
      </c>
      <c r="M42" s="2">
        <f t="shared" si="1"/>
        <v>-36</v>
      </c>
    </row>
    <row r="43" spans="1:13" x14ac:dyDescent="0.25">
      <c r="A43" s="9">
        <v>40</v>
      </c>
      <c r="B43" s="3" t="s">
        <v>219</v>
      </c>
      <c r="C43" s="39">
        <v>2</v>
      </c>
      <c r="D43" s="11" t="s">
        <v>46</v>
      </c>
      <c r="E43" s="15" t="s">
        <v>89</v>
      </c>
      <c r="F43" s="12" t="s">
        <v>123</v>
      </c>
      <c r="H43" s="25" t="s">
        <v>175</v>
      </c>
      <c r="I43" s="11" t="s">
        <v>154</v>
      </c>
      <c r="J43" s="15"/>
      <c r="K43" s="2">
        <v>72</v>
      </c>
      <c r="L43" s="2">
        <f t="shared" si="0"/>
        <v>50</v>
      </c>
      <c r="M43" s="2">
        <f t="shared" si="1"/>
        <v>-22</v>
      </c>
    </row>
    <row r="44" spans="1:13" x14ac:dyDescent="0.25">
      <c r="A44" s="9">
        <v>41</v>
      </c>
      <c r="B44" s="3" t="s">
        <v>220</v>
      </c>
      <c r="C44" s="39">
        <v>3</v>
      </c>
      <c r="D44" s="11" t="s">
        <v>47</v>
      </c>
      <c r="E44" s="15" t="s">
        <v>90</v>
      </c>
      <c r="F44" s="12" t="s">
        <v>124</v>
      </c>
      <c r="H44" s="25" t="s">
        <v>175</v>
      </c>
      <c r="I44" s="16" t="s">
        <v>155</v>
      </c>
      <c r="J44" s="15"/>
      <c r="K44" s="2">
        <v>270</v>
      </c>
      <c r="L44" s="2">
        <f t="shared" si="0"/>
        <v>75</v>
      </c>
      <c r="M44" s="2">
        <f t="shared" si="1"/>
        <v>-195</v>
      </c>
    </row>
    <row r="45" spans="1:13" x14ac:dyDescent="0.25">
      <c r="A45" s="9">
        <v>42</v>
      </c>
      <c r="B45" s="3" t="s">
        <v>221</v>
      </c>
      <c r="C45" s="39">
        <v>3</v>
      </c>
      <c r="D45" s="11" t="s">
        <v>44</v>
      </c>
      <c r="E45" s="17" t="s">
        <v>91</v>
      </c>
      <c r="F45" s="12" t="s">
        <v>114</v>
      </c>
      <c r="H45" s="25" t="s">
        <v>175</v>
      </c>
      <c r="I45" s="11" t="s">
        <v>156</v>
      </c>
      <c r="J45" s="15"/>
      <c r="K45" s="2">
        <v>390</v>
      </c>
      <c r="L45" s="2">
        <f t="shared" si="0"/>
        <v>75</v>
      </c>
      <c r="M45" s="2">
        <f t="shared" si="1"/>
        <v>-315</v>
      </c>
    </row>
    <row r="46" spans="1:13" x14ac:dyDescent="0.25">
      <c r="A46" s="9">
        <v>43</v>
      </c>
      <c r="B46" s="3" t="s">
        <v>222</v>
      </c>
      <c r="C46" s="39">
        <v>3</v>
      </c>
      <c r="D46" s="11" t="s">
        <v>45</v>
      </c>
      <c r="E46" s="15" t="s">
        <v>92</v>
      </c>
      <c r="F46" s="12" t="s">
        <v>114</v>
      </c>
      <c r="H46" s="25" t="s">
        <v>175</v>
      </c>
      <c r="I46" s="16" t="s">
        <v>157</v>
      </c>
      <c r="J46" s="15"/>
      <c r="K46" s="2">
        <v>1700</v>
      </c>
      <c r="L46" s="2">
        <f t="shared" si="0"/>
        <v>75</v>
      </c>
      <c r="M46" s="2">
        <f t="shared" si="1"/>
        <v>-1625</v>
      </c>
    </row>
    <row r="47" spans="1:13" x14ac:dyDescent="0.25">
      <c r="A47" s="9">
        <v>44</v>
      </c>
      <c r="B47" s="3" t="s">
        <v>223</v>
      </c>
      <c r="C47" s="39">
        <v>4</v>
      </c>
      <c r="D47" s="11" t="s">
        <v>48</v>
      </c>
      <c r="E47" s="15" t="s">
        <v>93</v>
      </c>
      <c r="F47" s="12" t="s">
        <v>118</v>
      </c>
      <c r="H47" s="25" t="s">
        <v>175</v>
      </c>
      <c r="I47" s="21" t="s">
        <v>158</v>
      </c>
      <c r="J47" s="15"/>
      <c r="K47" s="2">
        <v>1300</v>
      </c>
      <c r="L47" s="2">
        <f t="shared" si="0"/>
        <v>100</v>
      </c>
      <c r="M47" s="2">
        <f t="shared" si="1"/>
        <v>-1200</v>
      </c>
    </row>
    <row r="48" spans="1:13" x14ac:dyDescent="0.25">
      <c r="A48" s="9">
        <v>45</v>
      </c>
      <c r="B48" s="3" t="s">
        <v>226</v>
      </c>
      <c r="C48" s="39">
        <v>21</v>
      </c>
      <c r="D48" s="11" t="s">
        <v>241</v>
      </c>
      <c r="E48" s="15" t="s">
        <v>242</v>
      </c>
      <c r="F48" s="12" t="s">
        <v>123</v>
      </c>
      <c r="H48" s="25" t="s">
        <v>175</v>
      </c>
      <c r="I48" s="36" t="s">
        <v>159</v>
      </c>
      <c r="J48" s="15"/>
      <c r="K48" s="2">
        <v>2600</v>
      </c>
      <c r="L48" s="2">
        <f t="shared" si="0"/>
        <v>525</v>
      </c>
      <c r="M48" s="2">
        <f t="shared" si="1"/>
        <v>-2075</v>
      </c>
    </row>
    <row r="49" spans="1:14" x14ac:dyDescent="0.25">
      <c r="A49" s="9">
        <v>46</v>
      </c>
      <c r="B49" s="3" t="s">
        <v>227</v>
      </c>
      <c r="C49" s="39">
        <v>8</v>
      </c>
      <c r="D49" s="11" t="s">
        <v>243</v>
      </c>
      <c r="E49" s="15" t="s">
        <v>244</v>
      </c>
      <c r="F49" s="12" t="s">
        <v>123</v>
      </c>
      <c r="H49" s="25" t="s">
        <v>175</v>
      </c>
      <c r="I49" s="37" t="s">
        <v>160</v>
      </c>
      <c r="J49" s="15"/>
      <c r="K49" s="2">
        <v>650</v>
      </c>
      <c r="L49" s="2">
        <f t="shared" si="0"/>
        <v>200</v>
      </c>
      <c r="M49" s="2">
        <f t="shared" si="1"/>
        <v>-450</v>
      </c>
    </row>
    <row r="50" spans="1:14" ht="30" x14ac:dyDescent="0.25">
      <c r="A50" s="9">
        <v>47</v>
      </c>
      <c r="B50" s="3" t="s">
        <v>228</v>
      </c>
      <c r="C50" s="39">
        <v>6</v>
      </c>
      <c r="D50" s="11" t="s">
        <v>44</v>
      </c>
      <c r="E50" s="15" t="s">
        <v>94</v>
      </c>
      <c r="F50" s="12" t="s">
        <v>114</v>
      </c>
      <c r="H50" s="25" t="s">
        <v>175</v>
      </c>
      <c r="I50" s="37" t="s">
        <v>161</v>
      </c>
      <c r="J50" s="15"/>
      <c r="K50" s="2">
        <v>960</v>
      </c>
      <c r="L50" s="2">
        <f t="shared" si="0"/>
        <v>150</v>
      </c>
      <c r="M50" s="2">
        <f t="shared" si="1"/>
        <v>-810</v>
      </c>
    </row>
    <row r="51" spans="1:14" ht="45" x14ac:dyDescent="0.25">
      <c r="A51" s="9">
        <v>48</v>
      </c>
      <c r="B51" s="3" t="s">
        <v>229</v>
      </c>
      <c r="C51" s="39">
        <v>15</v>
      </c>
      <c r="D51" s="11" t="s">
        <v>45</v>
      </c>
      <c r="E51" s="38" t="s">
        <v>95</v>
      </c>
      <c r="F51" s="12" t="s">
        <v>114</v>
      </c>
      <c r="H51" s="25" t="s">
        <v>175</v>
      </c>
      <c r="I51" s="36" t="s">
        <v>162</v>
      </c>
      <c r="J51" s="15"/>
      <c r="K51" s="2">
        <v>1000</v>
      </c>
      <c r="L51" s="2">
        <f t="shared" si="0"/>
        <v>375</v>
      </c>
      <c r="M51" s="2">
        <f t="shared" si="1"/>
        <v>-625</v>
      </c>
    </row>
    <row r="52" spans="1:14" x14ac:dyDescent="0.25">
      <c r="A52" s="9">
        <v>49</v>
      </c>
      <c r="B52" s="3" t="s">
        <v>224</v>
      </c>
      <c r="C52" s="39">
        <v>16</v>
      </c>
      <c r="D52" s="11" t="s">
        <v>28</v>
      </c>
      <c r="E52" s="38" t="s">
        <v>96</v>
      </c>
      <c r="F52" s="12" t="s">
        <v>114</v>
      </c>
      <c r="H52" s="25" t="s">
        <v>175</v>
      </c>
      <c r="I52" s="11" t="s">
        <v>163</v>
      </c>
      <c r="J52" s="15"/>
      <c r="K52" s="2">
        <v>1390</v>
      </c>
      <c r="L52" s="2">
        <f t="shared" si="0"/>
        <v>400</v>
      </c>
      <c r="M52" s="2">
        <f t="shared" si="1"/>
        <v>-990</v>
      </c>
    </row>
    <row r="53" spans="1:14" ht="30" x14ac:dyDescent="0.25">
      <c r="A53" s="9">
        <v>50</v>
      </c>
      <c r="B53" s="3" t="s">
        <v>230</v>
      </c>
      <c r="C53" s="39">
        <v>20</v>
      </c>
      <c r="D53" s="11" t="s">
        <v>44</v>
      </c>
      <c r="E53" s="15" t="s">
        <v>97</v>
      </c>
      <c r="F53" s="12" t="s">
        <v>114</v>
      </c>
      <c r="H53" s="25" t="s">
        <v>175</v>
      </c>
      <c r="I53" s="16" t="s">
        <v>164</v>
      </c>
      <c r="J53" s="15"/>
      <c r="K53" s="2">
        <v>1600</v>
      </c>
      <c r="L53" s="2">
        <f t="shared" si="0"/>
        <v>500</v>
      </c>
      <c r="M53" s="2">
        <f t="shared" si="1"/>
        <v>-1100</v>
      </c>
    </row>
    <row r="54" spans="1:14" x14ac:dyDescent="0.25">
      <c r="A54" s="9">
        <v>51</v>
      </c>
      <c r="C54" s="39">
        <v>1</v>
      </c>
      <c r="D54" s="11" t="s">
        <v>44</v>
      </c>
      <c r="E54" s="38" t="s">
        <v>98</v>
      </c>
      <c r="F54" s="12" t="s">
        <v>116</v>
      </c>
      <c r="H54" s="25" t="s">
        <v>175</v>
      </c>
      <c r="I54" t="s">
        <v>165</v>
      </c>
      <c r="J54" s="32" t="s">
        <v>187</v>
      </c>
      <c r="K54" s="2">
        <v>210</v>
      </c>
      <c r="L54" s="2">
        <f t="shared" si="0"/>
        <v>25</v>
      </c>
      <c r="M54" s="2">
        <f t="shared" si="1"/>
        <v>-185</v>
      </c>
    </row>
    <row r="55" spans="1:14" x14ac:dyDescent="0.25">
      <c r="A55" s="9">
        <v>52</v>
      </c>
      <c r="B55" s="3" t="s">
        <v>225</v>
      </c>
      <c r="C55" s="39">
        <v>2</v>
      </c>
      <c r="D55" s="11" t="s">
        <v>49</v>
      </c>
      <c r="E55" s="17" t="s">
        <v>99</v>
      </c>
      <c r="F55" s="12" t="s">
        <v>125</v>
      </c>
      <c r="H55" s="25" t="s">
        <v>175</v>
      </c>
      <c r="I55" s="36" t="s">
        <v>166</v>
      </c>
      <c r="J55" s="34" t="s">
        <v>188</v>
      </c>
      <c r="K55" s="2">
        <v>170</v>
      </c>
      <c r="L55" s="2">
        <f t="shared" si="0"/>
        <v>50</v>
      </c>
      <c r="M55" s="2">
        <f t="shared" si="1"/>
        <v>-120</v>
      </c>
    </row>
    <row r="56" spans="1:14" x14ac:dyDescent="0.25">
      <c r="A56" s="9">
        <v>53</v>
      </c>
      <c r="B56" s="3" t="s">
        <v>231</v>
      </c>
      <c r="C56" s="39">
        <v>1</v>
      </c>
      <c r="D56" s="11" t="s">
        <v>50</v>
      </c>
      <c r="E56" s="17" t="s">
        <v>100</v>
      </c>
      <c r="F56" s="12" t="s">
        <v>116</v>
      </c>
      <c r="H56" s="25" t="s">
        <v>175</v>
      </c>
      <c r="I56" s="36" t="s">
        <v>167</v>
      </c>
      <c r="J56" s="34" t="s">
        <v>189</v>
      </c>
      <c r="K56" s="2">
        <v>70</v>
      </c>
      <c r="L56" s="2">
        <f t="shared" si="0"/>
        <v>25</v>
      </c>
      <c r="M56" s="2">
        <f t="shared" si="1"/>
        <v>-45</v>
      </c>
    </row>
    <row r="57" spans="1:14" x14ac:dyDescent="0.25">
      <c r="A57" s="9">
        <v>54</v>
      </c>
      <c r="B57" s="3" t="s">
        <v>232</v>
      </c>
      <c r="C57" s="39">
        <v>2</v>
      </c>
      <c r="D57" s="11" t="s">
        <v>44</v>
      </c>
      <c r="E57" s="17" t="s">
        <v>101</v>
      </c>
      <c r="F57" s="12" t="s">
        <v>116</v>
      </c>
      <c r="H57" s="25" t="s">
        <v>175</v>
      </c>
      <c r="I57" s="36" t="s">
        <v>168</v>
      </c>
      <c r="J57" s="15" t="s">
        <v>190</v>
      </c>
      <c r="K57" s="2">
        <v>210</v>
      </c>
      <c r="L57" s="2">
        <f t="shared" si="0"/>
        <v>50</v>
      </c>
      <c r="M57" s="2">
        <f t="shared" si="1"/>
        <v>-160</v>
      </c>
    </row>
    <row r="58" spans="1:14" x14ac:dyDescent="0.25">
      <c r="A58" s="9">
        <v>55</v>
      </c>
      <c r="B58" s="3" t="s">
        <v>233</v>
      </c>
      <c r="C58" s="39">
        <v>2</v>
      </c>
      <c r="D58" s="11" t="s">
        <v>44</v>
      </c>
      <c r="E58" s="17" t="s">
        <v>102</v>
      </c>
      <c r="F58" s="12" t="s">
        <v>116</v>
      </c>
      <c r="H58" s="25" t="s">
        <v>175</v>
      </c>
      <c r="I58" s="36" t="s">
        <v>169</v>
      </c>
      <c r="J58" s="15" t="s">
        <v>191</v>
      </c>
      <c r="K58" s="2">
        <v>130</v>
      </c>
      <c r="L58" s="2">
        <f t="shared" si="0"/>
        <v>50</v>
      </c>
      <c r="M58" s="2">
        <f t="shared" si="1"/>
        <v>-80</v>
      </c>
    </row>
    <row r="59" spans="1:14" x14ac:dyDescent="0.25">
      <c r="A59" s="9">
        <v>56</v>
      </c>
      <c r="C59" s="39">
        <v>1</v>
      </c>
      <c r="D59" s="11" t="s">
        <v>51</v>
      </c>
      <c r="E59" s="15" t="s">
        <v>103</v>
      </c>
      <c r="F59" s="12"/>
      <c r="H59" s="25" t="s">
        <v>176</v>
      </c>
      <c r="I59" t="s">
        <v>170</v>
      </c>
      <c r="J59" s="34" t="s">
        <v>192</v>
      </c>
      <c r="K59" s="2">
        <v>8</v>
      </c>
      <c r="L59" s="2">
        <f t="shared" si="0"/>
        <v>25</v>
      </c>
      <c r="M59" s="2">
        <f t="shared" si="1"/>
        <v>17</v>
      </c>
      <c r="N59" s="2">
        <v>17</v>
      </c>
    </row>
    <row r="60" spans="1:14" x14ac:dyDescent="0.25">
      <c r="H60" s="25"/>
    </row>
  </sheetData>
  <autoFilter ref="A3:K60" xr:uid="{C88C20F3-2F4A-4030-BE4A-B7FE15D0E2CE}">
    <sortState xmlns:xlrd2="http://schemas.microsoft.com/office/spreadsheetml/2017/richdata2" ref="A4:K60">
      <sortCondition ref="A3:A60"/>
    </sortState>
  </autoFilter>
  <mergeCells count="6">
    <mergeCell ref="E1:F1"/>
    <mergeCell ref="G1:I1"/>
    <mergeCell ref="E2:F2"/>
    <mergeCell ref="G2:I2"/>
    <mergeCell ref="A1:D1"/>
    <mergeCell ref="A2:D2"/>
  </mergeCells>
  <conditionalFormatting sqref="E1:F1 A1:D2 G1:I2">
    <cfRule type="containsText" dxfId="1" priority="1" operator="containsText" text="]">
      <formula>NOT(ISERROR(SEARCH("]",A1)))</formula>
    </cfRule>
    <cfRule type="containsText" dxfId="0" priority="2" operator="containsText" text="[">
      <formula>NOT(ISERROR(SEARCH("[",A1)))</formula>
    </cfRule>
  </conditionalFormatting>
  <hyperlinks>
    <hyperlink ref="I40" r:id="rId1" display="https://www.mouser.ch/ProductDetail/708-RMCF1206FG2K00" xr:uid="{553C2665-3DE6-46D1-BA99-51F37FA154E3}"/>
    <hyperlink ref="J10" r:id="rId2" xr:uid="{DBE7F530-AE16-4E54-A709-6A0CF697B59D}"/>
    <hyperlink ref="J4" r:id="rId3" xr:uid="{B380AD9A-D231-4EA2-BF4A-12F76D554941}"/>
    <hyperlink ref="J5" r:id="rId4" display="https://www.aliexpress.com/item/4000857925361.html?spm=a2g0o.productlist.0.0.6db34c76UGt7nw&amp;algo_pvid=3c318690-97c3-4b2c-9b78-99b63b86f658&amp;algo_expid=3c318690-97c3-4b2c-9b78-99b63b86f658-5&amp;btsid=0ab6f82115949047740918104e0a53&amp;ws_ab_test=searchweb0_0,searchweb201602_,searchweb201603_" xr:uid="{0D2627FF-D645-45D0-8120-86894E215684}"/>
    <hyperlink ref="J7" r:id="rId5" xr:uid="{CD95D1F4-380B-44D6-8A9D-B93FDAFFE364}"/>
    <hyperlink ref="J6" r:id="rId6" xr:uid="{254999A9-838A-439B-B3CB-3F57783C7656}"/>
    <hyperlink ref="J8" r:id="rId7" display="https://www.digikey.ch/de/products/detail/globtek-inc/WR9MA2000USBCFMEDR6B/10187592" xr:uid="{D2CAAEEA-C597-48BD-B22E-46B13D60D4D1}"/>
    <hyperlink ref="J11" r:id="rId8" xr:uid="{8AA07455-DE7B-43C6-BFC3-01326182DF3A}"/>
    <hyperlink ref="J59" r:id="rId9" xr:uid="{46F2CADF-FC8B-4349-B4D1-7506F53406CA}"/>
    <hyperlink ref="J55" r:id="rId10" xr:uid="{E27C42C4-01F1-454C-A198-954B10CECD53}"/>
    <hyperlink ref="J56" r:id="rId11" xr:uid="{6CD231B9-72C6-4617-97AD-0DE29D67F9D0}"/>
  </hyperlinks>
  <pageMargins left="0.70866141732283472" right="0.70866141732283472" top="0.78740157480314965" bottom="0.78740157480314965" header="0.31496062992125984" footer="0.31496062992125984"/>
  <pageSetup paperSize="9" scale="91" orientation="landscape" r:id="rId12"/>
  <headerFooter>
    <oddHeader>&amp;L&amp;"-,Fett"&amp;20Stückliste&amp;R&amp;G</oddHeader>
    <oddFooter>&amp;RSeite &amp;P von &amp;N</oddFooter>
  </headerFooter>
  <colBreaks count="1" manualBreakCount="1">
    <brk id="9" min="2" max="3" man="1"/>
  </colBreaks>
  <legacyDrawingHF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6260-17BC-46BB-AB82-E90153F66634}">
  <dimension ref="A1:A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52.85546875" customWidth="1"/>
    <col min="2" max="2" width="11.42578125" customWidth="1"/>
  </cols>
  <sheetData>
    <row r="1" spans="1:1" x14ac:dyDescent="0.25">
      <c r="A1" s="8" t="s">
        <v>10</v>
      </c>
    </row>
    <row r="2" spans="1:1" x14ac:dyDescent="0.25">
      <c r="A2" s="8" t="s">
        <v>11</v>
      </c>
    </row>
  </sheetData>
  <hyperlinks>
    <hyperlink ref="A2" r:id="rId1" display="https://studmswch.sharepoint.com/:w:/s/MSW-EK/IQD9HyacXsA6R6I1vsnSvZADAQNl2sAuTtJ7mR4emLyg6MU?e=pOfi1L" xr:uid="{514BC7E7-251D-4AAA-99F1-DF11765AFC7B}"/>
    <hyperlink ref="A1" r:id="rId2" display="https://studmswch.sharepoint.com/:b:/s/MSW-EK/IQADzYVIL4Z6RYHM9LvFaS7cAaHDWcMps8wS34NvU4EJE2s?e=OZbZhI" xr:uid="{6375B050-F717-4F2D-840F-C94AC0DA1217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CE672EB31FC448AA7E0353CA27D558" ma:contentTypeVersion="40" ma:contentTypeDescription="Ein neues Dokument erstellen." ma:contentTypeScope="" ma:versionID="e55b3c38564bae049fb1cdc94a6eac1a">
  <xsd:schema xmlns:xsd="http://www.w3.org/2001/XMLSchema" xmlns:xs="http://www.w3.org/2001/XMLSchema" xmlns:p="http://schemas.microsoft.com/office/2006/metadata/properties" xmlns:ns2="e2a48fa4-1071-4a1f-9232-16227662a139" xmlns:ns3="3179560c-df02-450a-821b-9e6429c13aab" targetNamespace="http://schemas.microsoft.com/office/2006/metadata/properties" ma:root="true" ma:fieldsID="a2f23de1720833e41a2f475195187f6a" ns2:_="" ns3:_="">
    <xsd:import namespace="e2a48fa4-1071-4a1f-9232-16227662a139"/>
    <xsd:import namespace="3179560c-df02-450a-821b-9e6429c13a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48fa4-1071-4a1f-9232-16227662a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bookType" ma:index="25" nillable="true" ma:displayName="Notebook Type" ma:internalName="NotebookType">
      <xsd:simpleType>
        <xsd:restriction base="dms:Text"/>
      </xsd:simpleType>
    </xsd:element>
    <xsd:element name="FolderType" ma:index="26" nillable="true" ma:displayName="Folder Type" ma:internalName="FolderType">
      <xsd:simpleType>
        <xsd:restriction base="dms:Text"/>
      </xsd:simpleType>
    </xsd:element>
    <xsd:element name="CultureName" ma:index="27" nillable="true" ma:displayName="Culture Name" ma:internalName="CultureName">
      <xsd:simpleType>
        <xsd:restriction base="dms:Text"/>
      </xsd:simpleType>
    </xsd:element>
    <xsd:element name="AppVersion" ma:index="28" nillable="true" ma:displayName="App Version" ma:internalName="AppVersion">
      <xsd:simpleType>
        <xsd:restriction base="dms:Text"/>
      </xsd:simpleType>
    </xsd:element>
    <xsd:element name="TeamsChannelId" ma:index="29" nillable="true" ma:displayName="Teams Channel Id" ma:internalName="TeamsChannelId">
      <xsd:simpleType>
        <xsd:restriction base="dms:Text"/>
      </xsd:simpleType>
    </xsd:element>
    <xsd:element name="Owner" ma:index="3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1" nillable="true" ma:displayName="Math Settings" ma:internalName="Math_Settings">
      <xsd:simpleType>
        <xsd:restriction base="dms:Text"/>
      </xsd:simpleType>
    </xsd:element>
    <xsd:element name="DefaultSectionNames" ma:index="3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3" nillable="true" ma:displayName="Is Collaboration Space Locked" ma:internalName="Is_Collaboration_Space_Locked">
      <xsd:simpleType>
        <xsd:restriction base="dms:Boolean"/>
      </xsd:simpleType>
    </xsd:element>
    <xsd:element name="IsNotebookLocked" ma:index="44" nillable="true" ma:displayName="Is Notebook Locked" ma:internalName="IsNotebookLocked">
      <xsd:simpleType>
        <xsd:restriction base="dms:Boolean"/>
      </xsd:simpleType>
    </xsd:element>
    <xsd:element name="Teams_Channel_Section_Location" ma:index="45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9560c-df02-450a-821b-9e6429c13a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70cc39c-63c6-4ab2-ab78-3977a81634b7}" ma:internalName="TaxCatchAll" ma:showField="CatchAllData" ma:web="3179560c-df02-450a-821b-9e6429c13a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ers xmlns="e2a48fa4-1071-4a1f-9232-16227662a139">
      <UserInfo>
        <DisplayName/>
        <AccountId xsi:nil="true"/>
        <AccountType/>
      </UserInfo>
    </Teachers>
    <Self_Registration_Enabled xmlns="e2a48fa4-1071-4a1f-9232-16227662a139" xsi:nil="true"/>
    <Teams_Channel_Section_Location xmlns="e2a48fa4-1071-4a1f-9232-16227662a139" xsi:nil="true"/>
    <LMS_Mappings xmlns="e2a48fa4-1071-4a1f-9232-16227662a139" xsi:nil="true"/>
    <Math_Settings xmlns="e2a48fa4-1071-4a1f-9232-16227662a139" xsi:nil="true"/>
    <AppVersion xmlns="e2a48fa4-1071-4a1f-9232-16227662a139" xsi:nil="true"/>
    <Invited_Teachers xmlns="e2a48fa4-1071-4a1f-9232-16227662a139" xsi:nil="true"/>
    <Invited_Students xmlns="e2a48fa4-1071-4a1f-9232-16227662a139" xsi:nil="true"/>
    <Students xmlns="e2a48fa4-1071-4a1f-9232-16227662a139">
      <UserInfo>
        <DisplayName/>
        <AccountId xsi:nil="true"/>
        <AccountType/>
      </UserInfo>
    </Students>
    <Student_Groups xmlns="e2a48fa4-1071-4a1f-9232-16227662a139">
      <UserInfo>
        <DisplayName/>
        <AccountId xsi:nil="true"/>
        <AccountType/>
      </UserInfo>
    </Student_Groups>
    <Distribution_Groups xmlns="e2a48fa4-1071-4a1f-9232-16227662a139" xsi:nil="true"/>
    <TaxCatchAll xmlns="3179560c-df02-450a-821b-9e6429c13aab" xsi:nil="true"/>
    <Templates xmlns="e2a48fa4-1071-4a1f-9232-16227662a139" xsi:nil="true"/>
    <TeamsChannelId xmlns="e2a48fa4-1071-4a1f-9232-16227662a139" xsi:nil="true"/>
    <CultureName xmlns="e2a48fa4-1071-4a1f-9232-16227662a139" xsi:nil="true"/>
    <Owner xmlns="e2a48fa4-1071-4a1f-9232-16227662a139">
      <UserInfo>
        <DisplayName/>
        <AccountId xsi:nil="true"/>
        <AccountType/>
      </UserInfo>
    </Owner>
    <DefaultSectionNames xmlns="e2a48fa4-1071-4a1f-9232-16227662a139" xsi:nil="true"/>
    <Is_Collaboration_Space_Locked xmlns="e2a48fa4-1071-4a1f-9232-16227662a139" xsi:nil="true"/>
    <IsNotebookLocked xmlns="e2a48fa4-1071-4a1f-9232-16227662a139" xsi:nil="true"/>
    <lcf76f155ced4ddcb4097134ff3c332f xmlns="e2a48fa4-1071-4a1f-9232-16227662a139">
      <Terms xmlns="http://schemas.microsoft.com/office/infopath/2007/PartnerControls"/>
    </lcf76f155ced4ddcb4097134ff3c332f>
    <NotebookType xmlns="e2a48fa4-1071-4a1f-9232-16227662a139" xsi:nil="true"/>
    <FolderType xmlns="e2a48fa4-1071-4a1f-9232-16227662a139" xsi:nil="true"/>
    <Has_Teacher_Only_SectionGroup xmlns="e2a48fa4-1071-4a1f-9232-16227662a139" xsi:nil="true"/>
  </documentManagement>
</p:properties>
</file>

<file path=customXml/itemProps1.xml><?xml version="1.0" encoding="utf-8"?>
<ds:datastoreItem xmlns:ds="http://schemas.openxmlformats.org/officeDocument/2006/customXml" ds:itemID="{94FE6E48-63C3-4886-8519-E7166C311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0D9E4F-29A6-4229-BFAC-B5E337B83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a48fa4-1071-4a1f-9232-16227662a139"/>
    <ds:schemaRef ds:uri="3179560c-df02-450a-821b-9e6429c13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E1E831-AE4F-4D3C-A09C-7549979D3D10}">
  <ds:schemaRefs>
    <ds:schemaRef ds:uri="http://www.w3.org/XML/1998/namespace"/>
    <ds:schemaRef ds:uri="http://schemas.microsoft.com/office/2006/documentManagement/types"/>
    <ds:schemaRef ds:uri="e2a48fa4-1071-4a1f-9232-16227662a13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179560c-df02-450a-821b-9e6429c13aab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Stückliste</vt:lpstr>
      <vt:lpstr>Hilfe</vt:lpstr>
      <vt:lpstr>Stückliste!Drucktitel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Schneider</dc:creator>
  <cp:keywords/>
  <dc:description/>
  <cp:lastModifiedBy>Dario Duendar</cp:lastModifiedBy>
  <cp:revision/>
  <cp:lastPrinted>2026-07-10T14:00:25Z</cp:lastPrinted>
  <dcterms:created xsi:type="dcterms:W3CDTF">2026-07-10T08:13:32Z</dcterms:created>
  <dcterms:modified xsi:type="dcterms:W3CDTF">2026-07-17T07:42:05Z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0x01010097CE672EB31FC448AA7E0353CA27D558</vt:lpwstr>
  </property>
  <property fmtid="{D5CDD505-2E9C-101B-9397-08002B2CF9AE}" pid="3" name="MediaServiceImageTags">
    <vt:lpwstr/>
  </property>
</Properties>
</file>